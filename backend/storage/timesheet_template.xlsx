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edevaerkcom-my.sharepoint.com/personal/jf_redevaerk_com/Documents/A5. HR/Templates HR/"/>
    </mc:Choice>
  </mc:AlternateContent>
  <xr:revisionPtr revIDLastSave="31" documentId="106_{AD73B0F0-0A00-45F9-962C-11F555491546}" xr6:coauthVersionLast="47" xr6:coauthVersionMax="47" xr10:uidLastSave="{2C5814F8-F90A-4183-BF75-E64A6374B15E}"/>
  <bookViews>
    <workbookView xWindow="-98" yWindow="-98" windowWidth="21795" windowHeight="12975" xr2:uid="{00000000-000D-0000-FFFF-FFFF00000000}"/>
  </bookViews>
  <sheets>
    <sheet name="Timesheet" sheetId="14" r:id="rId1"/>
  </sheets>
  <definedNames>
    <definedName name="_xlnm.Print_Area" localSheetId="0">Timesheet!$A$1:$AN$41</definedName>
    <definedName name="valuevx">42.314159</definedName>
    <definedName name="vertex42_copyright" hidden="1">"© 2016-2019 Vertex42 LLC"</definedName>
    <definedName name="vertex42_id" hidden="1">"monthly-timesheet.xlsx"</definedName>
    <definedName name="vertex42_title" hidden="1">"Monthly Timesheet Template"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4" i="14" l="1"/>
  <c r="AN15" i="14"/>
  <c r="AN16" i="14"/>
  <c r="AN17" i="14"/>
  <c r="AN18" i="14"/>
  <c r="AN19" i="14"/>
  <c r="AN20" i="14"/>
  <c r="AN21" i="14"/>
  <c r="AN22" i="14"/>
  <c r="AN23" i="14"/>
  <c r="AN24" i="14"/>
  <c r="AN25" i="14"/>
  <c r="AN26" i="14"/>
  <c r="AN27" i="14"/>
  <c r="AN28" i="14"/>
  <c r="AN29" i="14"/>
  <c r="AN30" i="14"/>
  <c r="AN31" i="14"/>
  <c r="AL32" i="14" l="1"/>
  <c r="AM32" i="14"/>
  <c r="AK32" i="14" l="1"/>
  <c r="AJ32" i="14"/>
  <c r="AI32" i="14"/>
  <c r="AH32" i="14"/>
  <c r="AG32" i="14"/>
  <c r="AF32" i="14"/>
  <c r="AE32" i="14"/>
  <c r="AD32" i="14"/>
  <c r="AC32" i="14"/>
  <c r="AB32" i="14"/>
  <c r="AA32" i="14"/>
  <c r="Z32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AN13" i="14"/>
  <c r="AN12" i="14"/>
  <c r="C7" i="14"/>
  <c r="C10" i="14" s="1"/>
  <c r="AN32" i="14" l="1"/>
  <c r="D10" i="14"/>
  <c r="D9" i="14" s="1"/>
  <c r="C9" i="14"/>
  <c r="C11" i="14"/>
  <c r="E10" i="14" l="1"/>
  <c r="E9" i="14" s="1"/>
  <c r="D11" i="14"/>
  <c r="F10" i="14" l="1"/>
  <c r="F9" i="14" s="1"/>
  <c r="E11" i="14"/>
  <c r="F11" i="14" l="1"/>
  <c r="G10" i="14"/>
  <c r="G11" i="14" l="1"/>
  <c r="H10" i="14"/>
  <c r="G9" i="14"/>
  <c r="H11" i="14" l="1"/>
  <c r="I10" i="14"/>
  <c r="H9" i="14"/>
  <c r="I11" i="14" l="1"/>
  <c r="J10" i="14"/>
  <c r="I9" i="14"/>
  <c r="K10" i="14" l="1"/>
  <c r="K9" i="14" s="1"/>
  <c r="J11" i="14"/>
  <c r="J9" i="14"/>
  <c r="L10" i="14" l="1"/>
  <c r="L9" i="14" s="1"/>
  <c r="K11" i="14"/>
  <c r="M10" i="14" l="1"/>
  <c r="M9" i="14" s="1"/>
  <c r="L11" i="14"/>
  <c r="N10" i="14" l="1"/>
  <c r="N9" i="14" s="1"/>
  <c r="M11" i="14"/>
  <c r="N11" i="14" l="1"/>
  <c r="O10" i="14"/>
  <c r="O9" i="14" s="1"/>
  <c r="O11" i="14" l="1"/>
  <c r="P10" i="14"/>
  <c r="P11" i="14" l="1"/>
  <c r="Q10" i="14"/>
  <c r="P9" i="14"/>
  <c r="R10" i="14" l="1"/>
  <c r="Q11" i="14"/>
  <c r="Q9" i="14"/>
  <c r="S10" i="14" l="1"/>
  <c r="S9" i="14" s="1"/>
  <c r="R11" i="14"/>
  <c r="R9" i="14"/>
  <c r="T10" i="14" l="1"/>
  <c r="T9" i="14" s="1"/>
  <c r="S11" i="14"/>
  <c r="U10" i="14" l="1"/>
  <c r="U9" i="14" s="1"/>
  <c r="T11" i="14"/>
  <c r="U11" i="14" l="1"/>
  <c r="V10" i="14"/>
  <c r="V11" i="14" l="1"/>
  <c r="W10" i="14"/>
  <c r="W9" i="14" s="1"/>
  <c r="V9" i="14"/>
  <c r="W11" i="14" l="1"/>
  <c r="X10" i="14"/>
  <c r="X11" i="14" l="1"/>
  <c r="Y10" i="14"/>
  <c r="X9" i="14"/>
  <c r="Z10" i="14" l="1"/>
  <c r="Y11" i="14"/>
  <c r="Y9" i="14"/>
  <c r="AA10" i="14" l="1"/>
  <c r="AA9" i="14" s="1"/>
  <c r="Z11" i="14"/>
  <c r="Z9" i="14"/>
  <c r="AB10" i="14" l="1"/>
  <c r="AB9" i="14" s="1"/>
  <c r="AA11" i="14"/>
  <c r="AC10" i="14" l="1"/>
  <c r="AC9" i="14" s="1"/>
  <c r="AB11" i="14"/>
  <c r="AC11" i="14" l="1"/>
  <c r="AD10" i="14"/>
  <c r="AD9" i="14" s="1"/>
  <c r="AE10" i="14" l="1"/>
  <c r="AE9" i="14" s="1"/>
  <c r="AD11" i="14"/>
  <c r="AE11" i="14" l="1"/>
  <c r="AF10" i="14"/>
  <c r="AF9" i="14" s="1"/>
  <c r="AF11" i="14" l="1"/>
  <c r="AG10" i="14"/>
  <c r="AG11" i="14" l="1"/>
  <c r="AH10" i="14"/>
  <c r="AG9" i="14"/>
  <c r="AH11" i="14" l="1"/>
  <c r="AI10" i="14"/>
  <c r="AI9" i="14" s="1"/>
  <c r="AH9" i="14"/>
  <c r="AJ10" i="14" l="1"/>
  <c r="AJ9" i="14" s="1"/>
  <c r="AI11" i="14"/>
  <c r="AK10" i="14" l="1"/>
  <c r="AJ11" i="14"/>
  <c r="AK9" i="14" l="1"/>
  <c r="AL10" i="14"/>
  <c r="AK11" i="14"/>
  <c r="AL9" i="14" l="1"/>
  <c r="AM10" i="14"/>
  <c r="AM11" i="14" s="1"/>
  <c r="AL11" i="14"/>
  <c r="AM9" i="14" l="1"/>
</calcChain>
</file>

<file path=xl/sharedStrings.xml><?xml version="1.0" encoding="utf-8"?>
<sst xmlns="http://schemas.openxmlformats.org/spreadsheetml/2006/main" count="33" uniqueCount="32">
  <si>
    <t>Monthly Timesheet</t>
  </si>
  <si>
    <t>Redevaerk</t>
  </si>
  <si>
    <t>Parameter</t>
  </si>
  <si>
    <t>Value</t>
  </si>
  <si>
    <t>Largo Leonor Faria Gomes 11 cv drt</t>
  </si>
  <si>
    <t>Employee / Contractor</t>
  </si>
  <si>
    <t>Francisco Magalhães</t>
  </si>
  <si>
    <t>2770-108 Paço de Arcos</t>
  </si>
  <si>
    <t>Department</t>
  </si>
  <si>
    <t>Projeto</t>
  </si>
  <si>
    <t>Start Week Containing</t>
  </si>
  <si>
    <t>Week Ending</t>
  </si>
  <si>
    <t>Sunday</t>
  </si>
  <si>
    <t>PROJECT</t>
  </si>
  <si>
    <t>Code</t>
  </si>
  <si>
    <t>Total
Hrs</t>
  </si>
  <si>
    <t>[Redevaerk] Leads Qualification</t>
  </si>
  <si>
    <t>PRJ2301.01</t>
  </si>
  <si>
    <t>[Redevaerk] Pre Sales</t>
  </si>
  <si>
    <t>PRJ2301.02</t>
  </si>
  <si>
    <t>[Redevaerk] Internal Operations</t>
  </si>
  <si>
    <t>PRJ2301.03</t>
  </si>
  <si>
    <t>[Redevaerk] Training</t>
  </si>
  <si>
    <t>PRJ2402.06</t>
  </si>
  <si>
    <t>[Redevaerk] BOND Building Our Network &amp; Dialogue</t>
  </si>
  <si>
    <t>PRJ2506.01</t>
  </si>
  <si>
    <t>Total Hours:</t>
  </si>
  <si>
    <t>Note: Use increments of 0.25 (15 minutes) when recording hours.</t>
  </si>
  <si>
    <t>Employee Signature</t>
  </si>
  <si>
    <t>Date</t>
  </si>
  <si>
    <t>Supervisor Signature</t>
  </si>
  <si>
    <t>Supervisor Name: João Figueiras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</si>
</sst>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h:mm\ AM/PM;@"/>
    <numFmt numFmtId="165" formatCode="d"/>
    <numFmt numFmtId="166" formatCode="mmm"/>
    <numFmt numFmtId="167" formatCode="d/m/yyyy;@"/>
  </numFmts>
  <fonts count="38">
    <font>
      <sz val="10"/>
      <name val="Trebuchet MS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36"/>
      <name val="Calibri"/>
      <family val="2"/>
    </font>
    <font>
      <b/>
      <sz val="11"/>
      <color indexed="5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sz val="11"/>
      <color indexed="53"/>
      <name val="Calibri"/>
      <family val="2"/>
    </font>
    <font>
      <sz val="11"/>
      <color indexed="50"/>
      <name val="Calibri"/>
      <family val="2"/>
    </font>
    <font>
      <sz val="11"/>
      <color indexed="59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18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b/>
      <sz val="18"/>
      <color indexed="63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mbria"/>
      <family val="1"/>
      <scheme val="major"/>
    </font>
    <font>
      <sz val="10"/>
      <name val="Cambria"/>
      <family val="1"/>
      <scheme val="major"/>
    </font>
    <font>
      <b/>
      <sz val="20"/>
      <color theme="4"/>
      <name val="Cambria"/>
      <family val="1"/>
      <scheme val="major"/>
    </font>
    <font>
      <sz val="10"/>
      <color theme="0"/>
      <name val="Cambria"/>
      <family val="1"/>
      <scheme val="major"/>
    </font>
    <font>
      <sz val="9"/>
      <name val="Arial Narrow"/>
      <family val="2"/>
    </font>
    <font>
      <b/>
      <sz val="11"/>
      <color theme="0"/>
      <name val="Cambria"/>
      <family val="1"/>
      <scheme val="major"/>
    </font>
    <font>
      <sz val="10"/>
      <color theme="0" tint="-4.9989318521683403E-2"/>
      <name val="Calibri"/>
      <family val="2"/>
      <scheme val="minor"/>
    </font>
    <font>
      <sz val="10"/>
      <color theme="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46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6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16" borderId="0" applyNumberFormat="0" applyBorder="0" applyAlignment="0" applyProtection="0"/>
    <xf numFmtId="0" fontId="7" fillId="17" borderId="1" applyNumberFormat="0" applyAlignment="0" applyProtection="0"/>
    <xf numFmtId="0" fontId="8" fillId="18" borderId="2" applyNumberFormat="0" applyAlignment="0" applyProtection="0"/>
    <xf numFmtId="0" fontId="9" fillId="0" borderId="0" applyNumberFormat="0" applyFill="0" applyBorder="0" applyAlignment="0" applyProtection="0"/>
    <xf numFmtId="0" fontId="10" fillId="19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4" fillId="11" borderId="1" applyNumberFormat="0" applyAlignment="0" applyProtection="0"/>
    <xf numFmtId="0" fontId="15" fillId="0" borderId="6" applyNumberFormat="0" applyFill="0" applyAlignment="0" applyProtection="0"/>
    <xf numFmtId="0" fontId="16" fillId="5" borderId="0" applyNumberFormat="0" applyBorder="0" applyAlignment="0" applyProtection="0"/>
    <xf numFmtId="0" fontId="17" fillId="0" borderId="0"/>
    <xf numFmtId="0" fontId="1" fillId="0" borderId="0"/>
    <xf numFmtId="0" fontId="1" fillId="5" borderId="7" applyNumberFormat="0" applyFont="0" applyAlignment="0" applyProtection="0"/>
    <xf numFmtId="0" fontId="18" fillId="17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</cellStyleXfs>
  <cellXfs count="44">
    <xf numFmtId="0" fontId="0" fillId="0" borderId="0" xfId="0"/>
    <xf numFmtId="0" fontId="3" fillId="0" borderId="0" xfId="0" applyFont="1"/>
    <xf numFmtId="0" fontId="0" fillId="0" borderId="0" xfId="0" applyAlignment="1">
      <alignment vertical="center"/>
    </xf>
    <xf numFmtId="0" fontId="22" fillId="0" borderId="0" xfId="0" applyFont="1"/>
    <xf numFmtId="0" fontId="25" fillId="0" borderId="10" xfId="0" applyFont="1" applyBorder="1" applyAlignment="1">
      <alignment horizontal="left"/>
    </xf>
    <xf numFmtId="0" fontId="2" fillId="0" borderId="0" xfId="34" applyAlignment="1" applyProtection="1"/>
    <xf numFmtId="0" fontId="25" fillId="0" borderId="14" xfId="39" applyFont="1" applyBorder="1" applyAlignment="1" applyProtection="1">
      <alignment horizontal="center" vertical="center"/>
      <protection locked="0"/>
    </xf>
    <xf numFmtId="0" fontId="34" fillId="0" borderId="14" xfId="39" applyFont="1" applyBorder="1" applyAlignment="1" applyProtection="1">
      <alignment horizontal="center" vertical="center"/>
      <protection locked="0"/>
    </xf>
    <xf numFmtId="0" fontId="34" fillId="0" borderId="16" xfId="39" applyFont="1" applyBorder="1" applyAlignment="1" applyProtection="1">
      <alignment horizontal="center" vertical="center"/>
      <protection locked="0"/>
    </xf>
    <xf numFmtId="0" fontId="33" fillId="21" borderId="15" xfId="0" applyFont="1" applyFill="1" applyBorder="1" applyAlignment="1">
      <alignment horizontal="center" vertical="center" wrapText="1"/>
    </xf>
    <xf numFmtId="166" fontId="35" fillId="21" borderId="12" xfId="0" applyNumberFormat="1" applyFont="1" applyFill="1" applyBorder="1" applyAlignment="1">
      <alignment horizontal="center" vertical="center" shrinkToFit="1"/>
    </xf>
    <xf numFmtId="166" fontId="35" fillId="21" borderId="13" xfId="0" applyNumberFormat="1" applyFont="1" applyFill="1" applyBorder="1" applyAlignment="1">
      <alignment horizontal="center" vertical="center" shrinkToFit="1"/>
    </xf>
    <xf numFmtId="166" fontId="35" fillId="21" borderId="15" xfId="0" applyNumberFormat="1" applyFont="1" applyFill="1" applyBorder="1" applyAlignment="1">
      <alignment horizontal="center" vertical="center" shrinkToFit="1"/>
    </xf>
    <xf numFmtId="0" fontId="2" fillId="0" borderId="0" xfId="34" applyAlignment="1" applyProtection="1">
      <alignment vertical="center"/>
    </xf>
    <xf numFmtId="0" fontId="26" fillId="0" borderId="10" xfId="0" applyFont="1" applyBorder="1" applyAlignment="1" applyProtection="1">
      <alignment vertical="center"/>
      <protection locked="0"/>
    </xf>
    <xf numFmtId="0" fontId="34" fillId="23" borderId="10" xfId="0" applyFont="1" applyFill="1" applyBorder="1" applyAlignment="1">
      <alignment horizontal="center" vertical="center"/>
    </xf>
    <xf numFmtId="4" fontId="34" fillId="22" borderId="10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/>
    <xf numFmtId="0" fontId="32" fillId="0" borderId="0" xfId="0" applyFont="1" applyAlignment="1">
      <alignment horizontal="right" vertical="center"/>
    </xf>
    <xf numFmtId="0" fontId="25" fillId="0" borderId="0" xfId="0" applyFont="1" applyAlignment="1" applyProtection="1">
      <alignment horizontal="right"/>
      <protection locked="0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indent="1"/>
    </xf>
    <xf numFmtId="0" fontId="25" fillId="0" borderId="0" xfId="0" applyFont="1" applyAlignment="1">
      <alignment horizontal="left"/>
    </xf>
    <xf numFmtId="0" fontId="36" fillId="0" borderId="0" xfId="0" applyFont="1" applyAlignment="1">
      <alignment horizontal="center"/>
    </xf>
    <xf numFmtId="0" fontId="25" fillId="20" borderId="0" xfId="0" applyFont="1" applyFill="1"/>
    <xf numFmtId="0" fontId="29" fillId="20" borderId="0" xfId="0" applyFont="1" applyFill="1" applyAlignment="1">
      <alignment horizontal="center"/>
    </xf>
    <xf numFmtId="165" fontId="29" fillId="20" borderId="0" xfId="0" applyNumberFormat="1" applyFont="1" applyFill="1" applyAlignment="1">
      <alignment horizontal="center"/>
    </xf>
    <xf numFmtId="0" fontId="33" fillId="21" borderId="0" xfId="0" applyFont="1" applyFill="1" applyAlignment="1">
      <alignment horizontal="center" vertical="center" wrapText="1"/>
    </xf>
    <xf numFmtId="166" fontId="35" fillId="21" borderId="0" xfId="0" applyNumberFormat="1" applyFont="1" applyFill="1" applyAlignment="1">
      <alignment horizontal="center" vertical="center" shrinkToFit="1"/>
    </xf>
    <xf numFmtId="0" fontId="25" fillId="0" borderId="17" xfId="39" applyFont="1" applyBorder="1" applyAlignment="1" applyProtection="1">
      <alignment horizontal="left" vertical="center"/>
      <protection locked="0"/>
    </xf>
    <xf numFmtId="4" fontId="34" fillId="23" borderId="0" xfId="0" applyNumberFormat="1" applyFont="1" applyFill="1" applyAlignment="1">
      <alignment horizontal="center" vertical="center"/>
    </xf>
    <xf numFmtId="164" fontId="28" fillId="0" borderId="0" xfId="0" applyNumberFormat="1" applyFont="1" applyAlignment="1">
      <alignment horizontal="left" vertical="top"/>
    </xf>
    <xf numFmtId="164" fontId="25" fillId="0" borderId="0" xfId="0" applyNumberFormat="1" applyFont="1" applyAlignment="1">
      <alignment horizontal="left" vertical="top"/>
    </xf>
    <xf numFmtId="167" fontId="28" fillId="0" borderId="0" xfId="0" applyNumberFormat="1" applyFont="1" applyAlignment="1">
      <alignment horizontal="left" vertical="top"/>
    </xf>
    <xf numFmtId="14" fontId="27" fillId="0" borderId="0" xfId="0" applyNumberFormat="1" applyFont="1" applyProtection="1">
      <protection locked="0"/>
    </xf>
    <xf numFmtId="14" fontId="27" fillId="0" borderId="0" xfId="0" applyNumberFormat="1" applyFont="1" applyAlignment="1" applyProtection="1">
      <alignment horizontal="left"/>
      <protection locked="0"/>
    </xf>
    <xf numFmtId="0" fontId="37" fillId="0" borderId="0" xfId="0" applyFont="1"/>
    <xf numFmtId="14" fontId="25" fillId="0" borderId="0" xfId="0" applyNumberFormat="1" applyFont="1" applyAlignment="1" applyProtection="1">
      <alignment horizontal="left"/>
      <protection locked="0"/>
    </xf>
    <xf numFmtId="0" fontId="25" fillId="0" borderId="11" xfId="0" applyFont="1" applyBorder="1" applyAlignment="1">
      <alignment horizontal="left"/>
    </xf>
    <xf numFmtId="0" fontId="25" fillId="0" borderId="0" xfId="0" applyFont="1" applyAlignment="1">
      <alignment horizontal="left"/>
    </xf>
    <xf numFmtId="0" fontId="27" fillId="23" borderId="10" xfId="0" applyFont="1" applyFill="1" applyBorder="1" applyAlignment="1">
      <alignment horizontal="right" vertical="center"/>
    </xf>
    <xf numFmtId="164" fontId="28" fillId="0" borderId="0" xfId="0" applyNumberFormat="1" applyFont="1" applyAlignment="1">
      <alignment horizontal="left" vertical="top"/>
    </xf>
  </cellXfs>
  <cellStyles count="4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Hyperlink 2" xfId="45" xr:uid="{00000000-0005-0000-0000-000022000000}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7000000}"/>
    <cellStyle name="Normal_Sheet1" xfId="39" xr:uid="{00000000-0005-0000-0000-000028000000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2">
    <dxf>
      <fill>
        <patternFill>
          <bgColor theme="0" tint="-0.14996795556505021"/>
        </patternFill>
      </fill>
    </dxf>
    <dxf>
      <border>
        <left style="thin">
          <color auto="1"/>
        </left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99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FF3"/>
      <rgbColor rgb="001849B5"/>
      <rgbColor rgb="0036ACA2"/>
      <rgbColor rgb="00F0BA00"/>
      <rgbColor rgb="00BCD5E1"/>
      <rgbColor rgb="0083B3C9"/>
      <rgbColor rgb="00346378"/>
      <rgbColor rgb="0087533B"/>
      <rgbColor rgb="00C0C0C0"/>
      <rgbColor rgb="00003366"/>
      <rgbColor rgb="00109618"/>
      <rgbColor rgb="00085108"/>
      <rgbColor rgb="00635100"/>
      <rgbColor rgb="0023414F"/>
      <rgbColor rgb="00E1C8BC"/>
      <rgbColor rgb="005937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Vertex42">
  <a:themeElements>
    <a:clrScheme name="BlackTie">
      <a:dk1>
        <a:srgbClr val="000000"/>
      </a:dk1>
      <a:lt1>
        <a:srgbClr val="FFFFFF"/>
      </a:lt1>
      <a:dk2>
        <a:srgbClr val="46464A"/>
      </a:dk2>
      <a:lt2>
        <a:srgbClr val="E3DCCF"/>
      </a:lt2>
      <a:accent1>
        <a:srgbClr val="6F6F74"/>
      </a:accent1>
      <a:accent2>
        <a:srgbClr val="A7B789"/>
      </a:accent2>
      <a:accent3>
        <a:srgbClr val="BEAE98"/>
      </a:accent3>
      <a:accent4>
        <a:srgbClr val="92A9B9"/>
      </a:accent4>
      <a:accent5>
        <a:srgbClr val="9C8265"/>
      </a:accent5>
      <a:accent6>
        <a:srgbClr val="8D6974"/>
      </a:accent6>
      <a:hlink>
        <a:srgbClr val="67AABF"/>
      </a:hlink>
      <a:folHlink>
        <a:srgbClr val="B1B5AB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D34F0-4B80-44E9-8B3D-8DD3C290DA19}">
  <sheetPr codeName="Sheet2">
    <pageSetUpPr fitToPage="1"/>
  </sheetPr>
  <dimension ref="A1:AP50"/>
  <sheetViews>
    <sheetView showGridLines="0" tabSelected="1" zoomScale="98" zoomScaleNormal="98" zoomScalePageLayoutView="85" workbookViewId="0"/>
  </sheetViews>
  <sheetFormatPr defaultColWidth="9.140625" defaultRowHeight="13.9"/>
  <cols>
    <col min="1" max="1" width="25.42578125" customWidth="1"/>
    <col min="2" max="2" width="10.85546875" bestFit="1" customWidth="1"/>
    <col min="3" max="10" width="4.140625" customWidth="1"/>
    <col min="11" max="11" width="4" customWidth="1"/>
    <col min="12" max="39" width="4.140625" customWidth="1"/>
    <col min="40" max="40" width="8.85546875" customWidth="1"/>
    <col min="42" max="42" width="26.140625" customWidth="1"/>
  </cols>
  <sheetData>
    <row r="1" spans="1:42" s="1" customFormat="1" ht="32.25" customHeight="1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9"/>
      <c r="AN1" s="20" t="s">
        <v>1</v>
      </c>
      <c r="AP1" s="5"/>
    </row>
    <row r="2" spans="1:42">
      <c r="A2" s="38" t="s">
        <v>2</v>
      </c>
      <c r="B2" s="38" t="s">
        <v>3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21" t="s">
        <v>4</v>
      </c>
      <c r="AP2" s="3"/>
    </row>
    <row r="3" spans="1:42" ht="14.25">
      <c r="A3" s="22" t="s">
        <v>5</v>
      </c>
      <c r="B3" s="14" t="s">
        <v>6</v>
      </c>
      <c r="C3" s="14"/>
      <c r="D3" s="14"/>
      <c r="E3" s="14"/>
      <c r="F3" s="14"/>
      <c r="G3" s="14"/>
      <c r="H3" s="14"/>
      <c r="I3" s="14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21" t="s">
        <v>7</v>
      </c>
    </row>
    <row r="4" spans="1:42">
      <c r="A4" s="23" t="s">
        <v>8</v>
      </c>
      <c r="B4" s="19" t="s">
        <v>9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24"/>
      <c r="AL4" s="19"/>
      <c r="AM4" s="19"/>
      <c r="AN4" s="21"/>
      <c r="AP4" s="13"/>
    </row>
    <row r="5" spans="1:42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19"/>
      <c r="AM5" s="19"/>
      <c r="AN5" s="21"/>
      <c r="AP5" s="13"/>
    </row>
    <row r="6" spans="1:42">
      <c r="A6" s="23" t="s">
        <v>10</v>
      </c>
      <c r="B6" s="37">
        <v>46113</v>
      </c>
      <c r="C6" s="36"/>
      <c r="D6" s="36"/>
      <c r="E6" s="24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24"/>
      <c r="AL6" s="19"/>
      <c r="AM6" s="19"/>
      <c r="AN6" s="21"/>
    </row>
    <row r="7" spans="1:42">
      <c r="A7" s="23" t="s">
        <v>11</v>
      </c>
      <c r="B7" s="19" t="s">
        <v>12</v>
      </c>
      <c r="C7" s="25">
        <f>MOD(MATCH(B7,{"Sunday";"Monday";"Tuesday";"Wednesday";"Thursday";"Friday";"Saturday"},0),7)+1</f>
        <v>2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</row>
    <row r="8" spans="1:42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24"/>
      <c r="AL8" s="19"/>
      <c r="AM8" s="19"/>
      <c r="AN8" s="19"/>
    </row>
    <row r="9" spans="1:42" ht="14.25">
      <c r="A9" s="26"/>
      <c r="B9" s="26"/>
      <c r="C9" s="27" t="str">
        <f>IF(OR(B10="",MONTH(C10)&lt;&gt;MONTH(B10)),TEXT(C10,"mmm"),"")</f>
        <v>mar</v>
      </c>
      <c r="D9" s="27" t="str">
        <f t="shared" ref="D9:AM9" si="0">IF(OR(C10="",MONTH(D10)&lt;&gt;MONTH(C10)),TEXT(D10,"mmm"),"")</f>
        <v/>
      </c>
      <c r="E9" s="27" t="str">
        <f t="shared" si="0"/>
        <v>abr</v>
      </c>
      <c r="F9" s="27" t="str">
        <f t="shared" si="0"/>
        <v/>
      </c>
      <c r="G9" s="27" t="str">
        <f t="shared" si="0"/>
        <v/>
      </c>
      <c r="H9" s="27" t="str">
        <f t="shared" si="0"/>
        <v/>
      </c>
      <c r="I9" s="27" t="str">
        <f t="shared" si="0"/>
        <v/>
      </c>
      <c r="J9" s="27" t="str">
        <f t="shared" si="0"/>
        <v/>
      </c>
      <c r="K9" s="27" t="str">
        <f t="shared" si="0"/>
        <v/>
      </c>
      <c r="L9" s="27" t="str">
        <f t="shared" si="0"/>
        <v/>
      </c>
      <c r="M9" s="27" t="str">
        <f t="shared" si="0"/>
        <v/>
      </c>
      <c r="N9" s="27" t="str">
        <f t="shared" si="0"/>
        <v/>
      </c>
      <c r="O9" s="27" t="str">
        <f t="shared" si="0"/>
        <v/>
      </c>
      <c r="P9" s="27" t="str">
        <f t="shared" si="0"/>
        <v/>
      </c>
      <c r="Q9" s="27" t="str">
        <f t="shared" si="0"/>
        <v/>
      </c>
      <c r="R9" s="27" t="str">
        <f t="shared" si="0"/>
        <v/>
      </c>
      <c r="S9" s="27" t="str">
        <f t="shared" si="0"/>
        <v/>
      </c>
      <c r="T9" s="27" t="str">
        <f t="shared" si="0"/>
        <v/>
      </c>
      <c r="U9" s="27" t="str">
        <f t="shared" si="0"/>
        <v/>
      </c>
      <c r="V9" s="27" t="str">
        <f t="shared" si="0"/>
        <v/>
      </c>
      <c r="W9" s="27" t="str">
        <f t="shared" si="0"/>
        <v/>
      </c>
      <c r="X9" s="27" t="str">
        <f t="shared" si="0"/>
        <v/>
      </c>
      <c r="Y9" s="27" t="str">
        <f t="shared" si="0"/>
        <v/>
      </c>
      <c r="Z9" s="27" t="str">
        <f t="shared" si="0"/>
        <v/>
      </c>
      <c r="AA9" s="27" t="str">
        <f t="shared" si="0"/>
        <v/>
      </c>
      <c r="AB9" s="27" t="str">
        <f t="shared" si="0"/>
        <v/>
      </c>
      <c r="AC9" s="27" t="str">
        <f t="shared" si="0"/>
        <v/>
      </c>
      <c r="AD9" s="27" t="str">
        <f t="shared" si="0"/>
        <v/>
      </c>
      <c r="AE9" s="27" t="str">
        <f t="shared" si="0"/>
        <v/>
      </c>
      <c r="AF9" s="27" t="str">
        <f t="shared" si="0"/>
        <v/>
      </c>
      <c r="AG9" s="27" t="str">
        <f t="shared" si="0"/>
        <v/>
      </c>
      <c r="AH9" s="27" t="str">
        <f t="shared" si="0"/>
        <v/>
      </c>
      <c r="AI9" s="27" t="str">
        <f t="shared" si="0"/>
        <v>mai</v>
      </c>
      <c r="AJ9" s="27" t="str">
        <f t="shared" si="0"/>
        <v/>
      </c>
      <c r="AK9" s="27" t="str">
        <f t="shared" si="0"/>
        <v/>
      </c>
      <c r="AL9" s="27" t="str">
        <f t="shared" si="0"/>
        <v/>
      </c>
      <c r="AM9" s="27" t="str">
        <f t="shared" si="0"/>
        <v/>
      </c>
      <c r="AN9" s="26"/>
    </row>
    <row r="10" spans="1:42" ht="14.25">
      <c r="A10" s="26"/>
      <c r="B10" s="26"/>
      <c r="C10" s="28">
        <f>$B$6-(WEEKDAY($B$6,1)-(C7-1))-IF((WEEKDAY($B$6,1)-(C7-1))&lt;=0,7,0)+1</f>
        <v>46111</v>
      </c>
      <c r="D10" s="28">
        <f>C10+1</f>
        <v>46112</v>
      </c>
      <c r="E10" s="28">
        <f t="shared" ref="E10:AM10" si="1">D10+1</f>
        <v>46113</v>
      </c>
      <c r="F10" s="28">
        <f t="shared" si="1"/>
        <v>46114</v>
      </c>
      <c r="G10" s="28">
        <f t="shared" si="1"/>
        <v>46115</v>
      </c>
      <c r="H10" s="28">
        <f t="shared" si="1"/>
        <v>46116</v>
      </c>
      <c r="I10" s="28">
        <f t="shared" si="1"/>
        <v>46117</v>
      </c>
      <c r="J10" s="28">
        <f t="shared" si="1"/>
        <v>46118</v>
      </c>
      <c r="K10" s="28">
        <f t="shared" si="1"/>
        <v>46119</v>
      </c>
      <c r="L10" s="28">
        <f t="shared" si="1"/>
        <v>46120</v>
      </c>
      <c r="M10" s="28">
        <f t="shared" si="1"/>
        <v>46121</v>
      </c>
      <c r="N10" s="28">
        <f t="shared" si="1"/>
        <v>46122</v>
      </c>
      <c r="O10" s="28">
        <f t="shared" si="1"/>
        <v>46123</v>
      </c>
      <c r="P10" s="28">
        <f t="shared" si="1"/>
        <v>46124</v>
      </c>
      <c r="Q10" s="28">
        <f t="shared" si="1"/>
        <v>46125</v>
      </c>
      <c r="R10" s="28">
        <f t="shared" si="1"/>
        <v>46126</v>
      </c>
      <c r="S10" s="28">
        <f t="shared" si="1"/>
        <v>46127</v>
      </c>
      <c r="T10" s="28">
        <f t="shared" si="1"/>
        <v>46128</v>
      </c>
      <c r="U10" s="28">
        <f t="shared" si="1"/>
        <v>46129</v>
      </c>
      <c r="V10" s="28">
        <f t="shared" si="1"/>
        <v>46130</v>
      </c>
      <c r="W10" s="28">
        <f t="shared" si="1"/>
        <v>46131</v>
      </c>
      <c r="X10" s="28">
        <f t="shared" si="1"/>
        <v>46132</v>
      </c>
      <c r="Y10" s="28">
        <f t="shared" si="1"/>
        <v>46133</v>
      </c>
      <c r="Z10" s="28">
        <f t="shared" si="1"/>
        <v>46134</v>
      </c>
      <c r="AA10" s="28">
        <f t="shared" si="1"/>
        <v>46135</v>
      </c>
      <c r="AB10" s="28">
        <f t="shared" si="1"/>
        <v>46136</v>
      </c>
      <c r="AC10" s="28">
        <f t="shared" si="1"/>
        <v>46137</v>
      </c>
      <c r="AD10" s="28">
        <f t="shared" si="1"/>
        <v>46138</v>
      </c>
      <c r="AE10" s="28">
        <f t="shared" si="1"/>
        <v>46139</v>
      </c>
      <c r="AF10" s="28">
        <f t="shared" si="1"/>
        <v>46140</v>
      </c>
      <c r="AG10" s="28">
        <f t="shared" si="1"/>
        <v>46141</v>
      </c>
      <c r="AH10" s="28">
        <f t="shared" si="1"/>
        <v>46142</v>
      </c>
      <c r="AI10" s="28">
        <f t="shared" si="1"/>
        <v>46143</v>
      </c>
      <c r="AJ10" s="28">
        <f t="shared" si="1"/>
        <v>46144</v>
      </c>
      <c r="AK10" s="28">
        <f t="shared" si="1"/>
        <v>46145</v>
      </c>
      <c r="AL10" s="28">
        <f t="shared" si="1"/>
        <v>46146</v>
      </c>
      <c r="AM10" s="28">
        <f t="shared" si="1"/>
        <v>46147</v>
      </c>
      <c r="AN10" s="26"/>
    </row>
    <row r="11" spans="1:42" s="2" customFormat="1" ht="27.75" customHeight="1">
      <c r="A11" s="29" t="s">
        <v>13</v>
      </c>
      <c r="B11" s="29" t="s">
        <v>14</v>
      </c>
      <c r="C11" s="10" t="str">
        <f>CHOOSE(WEEKDAY(C10,1),"Su","M","Tu","W","Th","F","Sa")</f>
        <v>M</v>
      </c>
      <c r="D11" s="30" t="str">
        <f t="shared" ref="D11:I11" si="2">CHOOSE(WEEKDAY(D10,1),"Su","M","Tu","W","Th","F","Sa")</f>
        <v>Tu</v>
      </c>
      <c r="E11" s="30" t="str">
        <f t="shared" si="2"/>
        <v>W</v>
      </c>
      <c r="F11" s="30" t="str">
        <f t="shared" si="2"/>
        <v>Th</v>
      </c>
      <c r="G11" s="30" t="str">
        <f t="shared" si="2"/>
        <v>F</v>
      </c>
      <c r="H11" s="30" t="str">
        <f t="shared" si="2"/>
        <v>Sa</v>
      </c>
      <c r="I11" s="11" t="str">
        <f t="shared" si="2"/>
        <v>Su</v>
      </c>
      <c r="J11" s="10" t="str">
        <f>CHOOSE(WEEKDAY(J10,1),"Su","M","Tu","W","Th","F","Sa")</f>
        <v>M</v>
      </c>
      <c r="K11" s="30" t="str">
        <f t="shared" ref="K11:P11" si="3">CHOOSE(WEEKDAY(K10,1),"Su","M","Tu","W","Th","F","Sa")</f>
        <v>Tu</v>
      </c>
      <c r="L11" s="30" t="str">
        <f t="shared" si="3"/>
        <v>W</v>
      </c>
      <c r="M11" s="30" t="str">
        <f t="shared" si="3"/>
        <v>Th</v>
      </c>
      <c r="N11" s="30" t="str">
        <f t="shared" si="3"/>
        <v>F</v>
      </c>
      <c r="O11" s="30" t="str">
        <f t="shared" si="3"/>
        <v>Sa</v>
      </c>
      <c r="P11" s="11" t="str">
        <f t="shared" si="3"/>
        <v>Su</v>
      </c>
      <c r="Q11" s="10" t="str">
        <f>CHOOSE(WEEKDAY(Q10,1),"Su","M","Tu","W","Th","F","Sa")</f>
        <v>M</v>
      </c>
      <c r="R11" s="30" t="str">
        <f t="shared" ref="R11:W11" si="4">CHOOSE(WEEKDAY(R10,1),"Su","M","Tu","W","Th","F","Sa")</f>
        <v>Tu</v>
      </c>
      <c r="S11" s="30" t="str">
        <f t="shared" si="4"/>
        <v>W</v>
      </c>
      <c r="T11" s="30" t="str">
        <f t="shared" si="4"/>
        <v>Th</v>
      </c>
      <c r="U11" s="30" t="str">
        <f t="shared" si="4"/>
        <v>F</v>
      </c>
      <c r="V11" s="30" t="str">
        <f t="shared" si="4"/>
        <v>Sa</v>
      </c>
      <c r="W11" s="11" t="str">
        <f t="shared" si="4"/>
        <v>Su</v>
      </c>
      <c r="X11" s="10" t="str">
        <f>CHOOSE(WEEKDAY(X10,1),"Su","M","Tu","W","Th","F","Sa")</f>
        <v>M</v>
      </c>
      <c r="Y11" s="30" t="str">
        <f t="shared" ref="Y11:AD11" si="5">CHOOSE(WEEKDAY(Y10,1),"Su","M","Tu","W","Th","F","Sa")</f>
        <v>Tu</v>
      </c>
      <c r="Z11" s="30" t="str">
        <f t="shared" si="5"/>
        <v>W</v>
      </c>
      <c r="AA11" s="30" t="str">
        <f t="shared" si="5"/>
        <v>Th</v>
      </c>
      <c r="AB11" s="30" t="str">
        <f t="shared" si="5"/>
        <v>F</v>
      </c>
      <c r="AC11" s="30" t="str">
        <f t="shared" si="5"/>
        <v>Sa</v>
      </c>
      <c r="AD11" s="11" t="str">
        <f t="shared" si="5"/>
        <v>Su</v>
      </c>
      <c r="AE11" s="10" t="str">
        <f>CHOOSE(WEEKDAY(AE10,1),"Su","M","Tu","W","Th","F","Sa")</f>
        <v>M</v>
      </c>
      <c r="AF11" s="30" t="str">
        <f t="shared" ref="AF11:AM11" si="6">CHOOSE(WEEKDAY(AF10,1),"Su","M","Tu","W","Th","F","Sa")</f>
        <v>Tu</v>
      </c>
      <c r="AG11" s="30" t="str">
        <f t="shared" si="6"/>
        <v>W</v>
      </c>
      <c r="AH11" s="30" t="str">
        <f t="shared" si="6"/>
        <v>Th</v>
      </c>
      <c r="AI11" s="30" t="str">
        <f t="shared" si="6"/>
        <v>F</v>
      </c>
      <c r="AJ11" s="30" t="str">
        <f t="shared" si="6"/>
        <v>Sa</v>
      </c>
      <c r="AK11" s="11" t="str">
        <f t="shared" si="6"/>
        <v>Su</v>
      </c>
      <c r="AL11" s="30" t="str">
        <f t="shared" si="6"/>
        <v>M</v>
      </c>
      <c r="AM11" s="12" t="str">
        <f t="shared" si="6"/>
        <v>Tu</v>
      </c>
      <c r="AN11" s="9" t="s">
        <v>15</v>
      </c>
    </row>
    <row r="12" spans="1:42" ht="16.5" customHeight="1">
      <c r="A12" s="31" t="s">
        <v>16</v>
      </c>
      <c r="B12" s="6" t="s">
        <v>17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8"/>
      <c r="AN12" s="32">
        <f t="shared" ref="AN12:AN31" si="7">SUM(C12:AM12)</f>
        <v>0</v>
      </c>
    </row>
    <row r="13" spans="1:42" ht="16.5" customHeight="1">
      <c r="A13" s="31" t="s">
        <v>18</v>
      </c>
      <c r="B13" s="6" t="s">
        <v>19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32">
        <f t="shared" si="7"/>
        <v>0</v>
      </c>
    </row>
    <row r="14" spans="1:42" ht="16.5" customHeight="1">
      <c r="A14" s="31" t="s">
        <v>20</v>
      </c>
      <c r="B14" s="6" t="s">
        <v>21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32">
        <f t="shared" si="7"/>
        <v>0</v>
      </c>
    </row>
    <row r="15" spans="1:42" ht="16.5" customHeight="1">
      <c r="A15" s="31" t="s">
        <v>22</v>
      </c>
      <c r="B15" s="6" t="s">
        <v>23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32">
        <f t="shared" si="7"/>
        <v>0</v>
      </c>
    </row>
    <row r="16" spans="1:42" ht="16.5" customHeight="1">
      <c r="A16" s="31" t="s">
        <v>24</v>
      </c>
      <c r="B16" s="6" t="s">
        <v>25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32">
        <f t="shared" si="7"/>
        <v>0</v>
      </c>
    </row>
    <row r="17" spans="1:40" ht="16.5" customHeight="1">
      <c r="A17" s="31"/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32">
        <f t="shared" si="7"/>
        <v>0</v>
      </c>
    </row>
    <row r="18" spans="1:40" ht="16.5" customHeight="1">
      <c r="A18" s="31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32">
        <f t="shared" si="7"/>
        <v>0</v>
      </c>
    </row>
    <row r="19" spans="1:40" ht="16.5" customHeight="1">
      <c r="A19" s="31"/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32">
        <f t="shared" si="7"/>
        <v>0</v>
      </c>
    </row>
    <row r="20" spans="1:40" ht="16.5" customHeight="1">
      <c r="A20" s="31"/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32">
        <f t="shared" si="7"/>
        <v>0</v>
      </c>
    </row>
    <row r="21" spans="1:40" ht="16.5" customHeight="1">
      <c r="A21" s="31"/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32">
        <f t="shared" si="7"/>
        <v>0</v>
      </c>
    </row>
    <row r="22" spans="1:40" ht="16.5" customHeight="1">
      <c r="A22" s="31"/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32">
        <f t="shared" si="7"/>
        <v>0</v>
      </c>
    </row>
    <row r="23" spans="1:40" ht="16.5" customHeight="1">
      <c r="A23" s="31"/>
      <c r="B23" s="6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32">
        <f t="shared" si="7"/>
        <v>0</v>
      </c>
    </row>
    <row r="24" spans="1:40" ht="16.5" customHeight="1">
      <c r="A24" s="31"/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32">
        <f t="shared" si="7"/>
        <v>0</v>
      </c>
    </row>
    <row r="25" spans="1:40" ht="16.5" customHeight="1">
      <c r="A25" s="31"/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32">
        <f t="shared" si="7"/>
        <v>0</v>
      </c>
    </row>
    <row r="26" spans="1:40" ht="16.5" customHeight="1">
      <c r="A26" s="31"/>
      <c r="B26" s="6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32">
        <f t="shared" si="7"/>
        <v>0</v>
      </c>
    </row>
    <row r="27" spans="1:40" ht="16.5" customHeight="1">
      <c r="A27" s="31"/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32">
        <f t="shared" si="7"/>
        <v>0</v>
      </c>
    </row>
    <row r="28" spans="1:40" ht="16.5" customHeight="1">
      <c r="A28" s="31"/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32">
        <f t="shared" si="7"/>
        <v>0</v>
      </c>
    </row>
    <row r="29" spans="1:40" ht="16.5" customHeight="1">
      <c r="A29" s="31"/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32">
        <f t="shared" si="7"/>
        <v>0</v>
      </c>
    </row>
    <row r="30" spans="1:40" ht="16.5" customHeight="1">
      <c r="A30" s="31"/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32">
        <f t="shared" si="7"/>
        <v>0</v>
      </c>
    </row>
    <row r="31" spans="1:40" ht="16.5" customHeight="1">
      <c r="A31" s="31"/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32">
        <f t="shared" si="7"/>
        <v>0</v>
      </c>
    </row>
    <row r="32" spans="1:40" ht="16.5" customHeight="1">
      <c r="A32" s="42" t="s">
        <v>26</v>
      </c>
      <c r="B32" s="42"/>
      <c r="C32" s="15">
        <f t="shared" ref="C32:AM32" si="8">SUM(C12:C31)</f>
        <v>0</v>
      </c>
      <c r="D32" s="15">
        <f t="shared" si="8"/>
        <v>0</v>
      </c>
      <c r="E32" s="15">
        <f t="shared" si="8"/>
        <v>0</v>
      </c>
      <c r="F32" s="15">
        <f t="shared" si="8"/>
        <v>0</v>
      </c>
      <c r="G32" s="15">
        <f t="shared" si="8"/>
        <v>0</v>
      </c>
      <c r="H32" s="15">
        <f t="shared" si="8"/>
        <v>0</v>
      </c>
      <c r="I32" s="15">
        <f t="shared" si="8"/>
        <v>0</v>
      </c>
      <c r="J32" s="15">
        <f t="shared" si="8"/>
        <v>0</v>
      </c>
      <c r="K32" s="15">
        <f t="shared" si="8"/>
        <v>0</v>
      </c>
      <c r="L32" s="15">
        <f t="shared" si="8"/>
        <v>0</v>
      </c>
      <c r="M32" s="15">
        <f t="shared" si="8"/>
        <v>0</v>
      </c>
      <c r="N32" s="15">
        <f t="shared" si="8"/>
        <v>0</v>
      </c>
      <c r="O32" s="15">
        <f t="shared" si="8"/>
        <v>0</v>
      </c>
      <c r="P32" s="15">
        <f t="shared" si="8"/>
        <v>0</v>
      </c>
      <c r="Q32" s="15">
        <f t="shared" si="8"/>
        <v>0</v>
      </c>
      <c r="R32" s="15">
        <f t="shared" si="8"/>
        <v>0</v>
      </c>
      <c r="S32" s="15">
        <f t="shared" si="8"/>
        <v>0</v>
      </c>
      <c r="T32" s="15">
        <f t="shared" si="8"/>
        <v>0</v>
      </c>
      <c r="U32" s="15">
        <f t="shared" si="8"/>
        <v>0</v>
      </c>
      <c r="V32" s="15">
        <f t="shared" si="8"/>
        <v>0</v>
      </c>
      <c r="W32" s="15">
        <f t="shared" si="8"/>
        <v>0</v>
      </c>
      <c r="X32" s="15">
        <f t="shared" si="8"/>
        <v>0</v>
      </c>
      <c r="Y32" s="15">
        <f t="shared" si="8"/>
        <v>0</v>
      </c>
      <c r="Z32" s="15">
        <f t="shared" si="8"/>
        <v>0</v>
      </c>
      <c r="AA32" s="15">
        <f t="shared" si="8"/>
        <v>0</v>
      </c>
      <c r="AB32" s="15">
        <f t="shared" si="8"/>
        <v>0</v>
      </c>
      <c r="AC32" s="15">
        <f t="shared" si="8"/>
        <v>0</v>
      </c>
      <c r="AD32" s="15">
        <f t="shared" si="8"/>
        <v>0</v>
      </c>
      <c r="AE32" s="15">
        <f t="shared" si="8"/>
        <v>0</v>
      </c>
      <c r="AF32" s="15">
        <f t="shared" si="8"/>
        <v>0</v>
      </c>
      <c r="AG32" s="15">
        <f t="shared" si="8"/>
        <v>0</v>
      </c>
      <c r="AH32" s="15">
        <f t="shared" si="8"/>
        <v>0</v>
      </c>
      <c r="AI32" s="15">
        <f t="shared" si="8"/>
        <v>0</v>
      </c>
      <c r="AJ32" s="15">
        <f t="shared" si="8"/>
        <v>0</v>
      </c>
      <c r="AK32" s="15">
        <f t="shared" si="8"/>
        <v>0</v>
      </c>
      <c r="AL32" s="15">
        <f t="shared" si="8"/>
        <v>0</v>
      </c>
      <c r="AM32" s="15">
        <f t="shared" si="8"/>
        <v>0</v>
      </c>
      <c r="AN32" s="16">
        <f>SUM(C32:AM32)</f>
        <v>0</v>
      </c>
    </row>
    <row r="33" spans="1:40" ht="16.5" customHeight="1"/>
    <row r="34" spans="1:40" ht="16.5" customHeight="1"/>
    <row r="35" spans="1:40" ht="16.5" customHeight="1">
      <c r="A35" s="43" t="s">
        <v>27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19"/>
    </row>
    <row r="36" spans="1:40" ht="16.5" customHeight="1">
      <c r="A36" s="34"/>
      <c r="B36" s="33"/>
      <c r="C36" s="33"/>
      <c r="D36" s="33"/>
      <c r="E36" s="33"/>
      <c r="F36" s="33"/>
      <c r="G36" s="33"/>
      <c r="H36" s="33"/>
      <c r="I36" s="33"/>
      <c r="J36" s="33"/>
      <c r="K36" s="35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19"/>
    </row>
    <row r="37" spans="1:40" ht="16.5" customHeight="1">
      <c r="A37" s="4"/>
      <c r="B37" s="4"/>
      <c r="C37" s="39"/>
      <c r="D37" s="39"/>
      <c r="E37" s="39"/>
      <c r="F37" s="3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</row>
    <row r="38" spans="1:40" ht="16.5" customHeight="1">
      <c r="A38" s="40" t="s">
        <v>28</v>
      </c>
      <c r="B38" s="40"/>
      <c r="C38" s="40" t="s">
        <v>29</v>
      </c>
      <c r="D38" s="40"/>
      <c r="E38" s="40"/>
      <c r="F38" s="40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</row>
    <row r="39" spans="1:40" ht="16.5" customHeight="1">
      <c r="A39" s="4"/>
      <c r="B39" s="4"/>
      <c r="C39" s="39"/>
      <c r="D39" s="39"/>
      <c r="E39" s="39"/>
      <c r="F39" s="3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</row>
    <row r="40" spans="1:40" ht="16.5" customHeight="1">
      <c r="A40" s="40" t="s">
        <v>30</v>
      </c>
      <c r="B40" s="40"/>
      <c r="C40" s="40" t="s">
        <v>29</v>
      </c>
      <c r="D40" s="40"/>
      <c r="E40" s="40"/>
      <c r="F40" s="40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</row>
    <row r="41" spans="1:40" ht="16.5" customHeight="1">
      <c r="A41" s="41" t="s">
        <v>31</v>
      </c>
      <c r="B41" s="41"/>
      <c r="C41" s="41"/>
      <c r="D41" s="41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</row>
    <row r="42" spans="1:40" ht="16.5" customHeight="1"/>
    <row r="43" spans="1:40" ht="24" customHeight="1"/>
    <row r="44" spans="1:40" ht="16.5" customHeight="1"/>
    <row r="45" spans="1:40" ht="16.5" customHeight="1"/>
    <row r="48" spans="1:40" ht="24" customHeight="1"/>
    <row r="50" ht="26.25" customHeight="1"/>
  </sheetData>
  <mergeCells count="9">
    <mergeCell ref="C39:F39"/>
    <mergeCell ref="A40:B40"/>
    <mergeCell ref="C40:F40"/>
    <mergeCell ref="A41:D41"/>
    <mergeCell ref="A32:B32"/>
    <mergeCell ref="A35:AM35"/>
    <mergeCell ref="C37:F37"/>
    <mergeCell ref="A38:B38"/>
    <mergeCell ref="C38:F38"/>
  </mergeCells>
  <conditionalFormatting sqref="C12:AM32">
    <cfRule type="expression" dxfId="1" priority="3">
      <formula>WEEKDAY(C$10,1)=$C$7</formula>
    </cfRule>
  </conditionalFormatting>
  <conditionalFormatting sqref="C12:AL31">
    <cfRule type="expression" dxfId="0" priority="1">
      <formula>OR(C$11="Sa",C$11="Su")</formula>
    </cfRule>
  </conditionalFormatting>
  <dataValidations count="1">
    <dataValidation type="list" allowBlank="1" showInputMessage="1" showErrorMessage="1" sqref="B7" xr:uid="{A42EBFFF-1C94-4846-A616-4A29793F951E}">
      <formula1>"Sunday,Monday,Tuesday,Wednesday,Thursday,Friday,Saturday"</formula1>
    </dataValidation>
  </dataValidations>
  <printOptions horizontalCentered="1"/>
  <pageMargins left="0.35" right="0.35" top="0.5" bottom="0.75" header="0.5" footer="0.5"/>
  <pageSetup paperSize="9" scale="75" fitToHeight="0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dbb8176-4d31-4daf-be1c-f7e27ec93545" xsi:nil="true"/>
    <lcf76f155ced4ddcb4097134ff3c332f xmlns="044ab229-8f4e-4392-881b-7ac5f7ef2ad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B8A4294A30A6468551A7C20C54DA4C" ma:contentTypeVersion="14" ma:contentTypeDescription="Create a new document." ma:contentTypeScope="" ma:versionID="c20e5030f92615cd5bbaa3c1be77ceb5">
  <xsd:schema xmlns:xsd="http://www.w3.org/2001/XMLSchema" xmlns:xs="http://www.w3.org/2001/XMLSchema" xmlns:p="http://schemas.microsoft.com/office/2006/metadata/properties" xmlns:ns2="9dbb8176-4d31-4daf-be1c-f7e27ec93545" xmlns:ns3="044ab229-8f4e-4392-881b-7ac5f7ef2ad9" targetNamespace="http://schemas.microsoft.com/office/2006/metadata/properties" ma:root="true" ma:fieldsID="b2e7440f677829663e268d695fd2b875" ns2:_="" ns3:_="">
    <xsd:import namespace="9dbb8176-4d31-4daf-be1c-f7e27ec93545"/>
    <xsd:import namespace="044ab229-8f4e-4392-881b-7ac5f7ef2ad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bb8176-4d31-4daf-be1c-f7e27ec9354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49f3bce-18fb-42d8-a80a-aafafe5eae1b}" ma:internalName="TaxCatchAll" ma:showField="CatchAllData" ma:web="9dbb8176-4d31-4daf-be1c-f7e27ec935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4ab229-8f4e-4392-881b-7ac5f7ef2a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95ad65a-b183-4045-9ff7-4862457d18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590D52-6428-456D-A7CA-BFB1CDB54DAD}"/>
</file>

<file path=customXml/itemProps2.xml><?xml version="1.0" encoding="utf-8"?>
<ds:datastoreItem xmlns:ds="http://schemas.openxmlformats.org/officeDocument/2006/customXml" ds:itemID="{C16B9DEA-4475-4F6C-9381-D3BD6DBD9A66}"/>
</file>

<file path=customXml/itemProps3.xml><?xml version="1.0" encoding="utf-8"?>
<ds:datastoreItem xmlns:ds="http://schemas.openxmlformats.org/officeDocument/2006/customXml" ds:itemID="{556A9D33-30F4-4372-B636-A8EBB5AFC4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Vertex42 LLC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Monthly Timesheet Template</dc:title>
  <dc:subject/>
  <dc:creator>Vertex42.com</dc:creator>
  <cp:keywords/>
  <dc:description>(c) 2016 Vertex42 LLC. All Rights Reserved.</dc:description>
  <cp:lastModifiedBy>i:0#.f|membership|jf@redevaerk.com</cp:lastModifiedBy>
  <cp:revision/>
  <dcterms:created xsi:type="dcterms:W3CDTF">2003-11-23T07:57:29Z</dcterms:created>
  <dcterms:modified xsi:type="dcterms:W3CDTF">2026-04-05T03:18:08Z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2016 Vertex42 LLC</vt:lpwstr>
  </property>
  <property fmtid="{D5CDD505-2E9C-101B-9397-08002B2CF9AE}" pid="3" name="Version">
    <vt:lpwstr>1.0.2</vt:lpwstr>
  </property>
  <property fmtid="{D5CDD505-2E9C-101B-9397-08002B2CF9AE}" pid="4" name="ContentTypeId">
    <vt:lpwstr>0x010100F0B8A4294A30A6468551A7C20C54DA4C</vt:lpwstr>
  </property>
  <property fmtid="{D5CDD505-2E9C-101B-9397-08002B2CF9AE}" pid="5" name="MediaServiceImageTags">
    <vt:lpwstr/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xd_Signature">
    <vt:bool>false</vt:bool>
  </property>
</Properties>
</file>